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89687_uni_au_dk/Documents/"/>
    </mc:Choice>
  </mc:AlternateContent>
  <xr:revisionPtr revIDLastSave="224" documentId="8_{52EBABF4-F1B6-D34B-A993-0AC2DF6C1E83}" xr6:coauthVersionLast="47" xr6:coauthVersionMax="47" xr10:uidLastSave="{FF350C8C-8C3B-B744-97C9-39C1C08D83C2}"/>
  <bookViews>
    <workbookView xWindow="980" yWindow="1180" windowWidth="27840" windowHeight="16640" activeTab="2" xr2:uid="{A7B85EFE-F1D9-A94C-8CC9-C101EE304918}"/>
  </bookViews>
  <sheets>
    <sheet name="Data" sheetId="1" r:id="rId1"/>
    <sheet name="Beregninger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K7" i="3"/>
  <c r="I7" i="3"/>
  <c r="G7" i="3"/>
  <c r="K3" i="3"/>
  <c r="I3" i="3"/>
  <c r="G3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D9" i="2"/>
  <c r="D10" i="2"/>
  <c r="D11" i="2"/>
  <c r="D12" i="2"/>
  <c r="D13" i="2"/>
  <c r="G10" i="3" s="1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8" i="2"/>
  <c r="E32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8" i="2"/>
  <c r="A31" i="2"/>
  <c r="A3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" i="2"/>
  <c r="A2" i="2"/>
</calcChain>
</file>

<file path=xl/sharedStrings.xml><?xml version="1.0" encoding="utf-8"?>
<sst xmlns="http://schemas.openxmlformats.org/spreadsheetml/2006/main" count="22" uniqueCount="20">
  <si>
    <t>Dato</t>
  </si>
  <si>
    <t>TTF Day Ahead Price €</t>
  </si>
  <si>
    <t>TTF Within day price €</t>
  </si>
  <si>
    <t>Temperature deviation</t>
  </si>
  <si>
    <t>Temperature deviation (Celsius)</t>
  </si>
  <si>
    <t>Storage level (%)</t>
  </si>
  <si>
    <t>Pipeline flow (GWh)</t>
  </si>
  <si>
    <t>LNG Imports (GWh)</t>
  </si>
  <si>
    <t>Pipeline outage (0/1)</t>
  </si>
  <si>
    <t>Demand forecast</t>
  </si>
  <si>
    <t>Price change</t>
  </si>
  <si>
    <t>Outage</t>
  </si>
  <si>
    <t>7 day volatilty</t>
  </si>
  <si>
    <t>7 day rolling average</t>
  </si>
  <si>
    <t>Day Ahead Price</t>
  </si>
  <si>
    <t>Within day price</t>
  </si>
  <si>
    <t>Storage level</t>
  </si>
  <si>
    <t>Vælg dato</t>
  </si>
  <si>
    <t>7 day volatility</t>
  </si>
  <si>
    <t>Markedsoversigt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</si>
</sst>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9" xfId="0" applyBorder="1"/>
    <xf numFmtId="14" fontId="0" fillId="0" borderId="10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9FAA-2320-5A43-953A-16CB3354D7F6}">
  <dimension ref="A1:I35"/>
  <sheetViews>
    <sheetView workbookViewId="0">
      <selection activeCell="D2" sqref="D2"/>
    </sheetView>
  </sheetViews>
  <sheetFormatPr baseColWidth="10" defaultRowHeight="16" x14ac:dyDescent="0.2"/>
  <cols>
    <col min="2" max="2" width="18.83203125" customWidth="1"/>
    <col min="3" max="3" width="18" customWidth="1"/>
    <col min="4" max="4" width="28.6640625" customWidth="1"/>
    <col min="5" max="5" width="14.5" customWidth="1"/>
    <col min="6" max="6" width="14.6640625" customWidth="1"/>
    <col min="7" max="7" width="17.6640625" customWidth="1"/>
    <col min="8" max="8" width="19" customWidth="1"/>
    <col min="9" max="9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6</v>
      </c>
      <c r="H1" t="s">
        <v>8</v>
      </c>
      <c r="I1" t="s">
        <v>9</v>
      </c>
    </row>
    <row r="2" spans="1:9" x14ac:dyDescent="0.2">
      <c r="A2" s="1">
        <v>45947</v>
      </c>
      <c r="B2">
        <v>51.24</v>
      </c>
      <c r="C2">
        <v>64.3</v>
      </c>
      <c r="D2">
        <v>5</v>
      </c>
      <c r="E2">
        <v>97</v>
      </c>
      <c r="F2">
        <v>1283</v>
      </c>
      <c r="G2">
        <v>1399</v>
      </c>
      <c r="H2">
        <v>0</v>
      </c>
      <c r="I2">
        <v>3253</v>
      </c>
    </row>
    <row r="3" spans="1:9" x14ac:dyDescent="0.2">
      <c r="A3" s="1">
        <v>45948</v>
      </c>
      <c r="B3">
        <v>68.52</v>
      </c>
      <c r="C3">
        <v>46.82</v>
      </c>
      <c r="D3">
        <v>2</v>
      </c>
      <c r="E3">
        <v>96.6</v>
      </c>
      <c r="F3">
        <v>1317</v>
      </c>
      <c r="G3">
        <v>1528</v>
      </c>
      <c r="H3">
        <v>0</v>
      </c>
      <c r="I3">
        <v>2481</v>
      </c>
    </row>
    <row r="4" spans="1:9" x14ac:dyDescent="0.2">
      <c r="A4" s="1">
        <v>45949</v>
      </c>
      <c r="B4">
        <v>61.96</v>
      </c>
      <c r="C4">
        <v>42.6</v>
      </c>
      <c r="D4">
        <v>-9</v>
      </c>
      <c r="E4">
        <v>96.2</v>
      </c>
      <c r="F4">
        <v>759</v>
      </c>
      <c r="G4">
        <v>1804</v>
      </c>
      <c r="H4">
        <v>0</v>
      </c>
      <c r="I4">
        <v>2280</v>
      </c>
    </row>
    <row r="5" spans="1:9" x14ac:dyDescent="0.2">
      <c r="A5" s="1">
        <v>45950</v>
      </c>
      <c r="B5">
        <v>57.96</v>
      </c>
      <c r="C5">
        <v>77.959999999999994</v>
      </c>
      <c r="D5">
        <v>4</v>
      </c>
      <c r="E5">
        <v>95.8</v>
      </c>
      <c r="F5">
        <v>987</v>
      </c>
      <c r="G5">
        <v>1383</v>
      </c>
      <c r="H5">
        <v>0</v>
      </c>
      <c r="I5">
        <v>2061</v>
      </c>
    </row>
    <row r="6" spans="1:9" x14ac:dyDescent="0.2">
      <c r="A6" s="1">
        <v>45951</v>
      </c>
      <c r="B6">
        <v>44.68</v>
      </c>
      <c r="C6">
        <v>78.63</v>
      </c>
      <c r="D6">
        <v>-6</v>
      </c>
      <c r="E6">
        <v>95.3</v>
      </c>
      <c r="F6">
        <v>793</v>
      </c>
      <c r="G6">
        <v>1262</v>
      </c>
      <c r="H6">
        <v>1</v>
      </c>
      <c r="I6">
        <v>2886</v>
      </c>
    </row>
    <row r="7" spans="1:9" x14ac:dyDescent="0.2">
      <c r="A7" s="1">
        <v>45952</v>
      </c>
      <c r="B7">
        <v>44.68</v>
      </c>
      <c r="C7">
        <v>72.34</v>
      </c>
      <c r="D7">
        <v>-3</v>
      </c>
      <c r="E7">
        <v>94.9</v>
      </c>
      <c r="F7">
        <v>1390</v>
      </c>
      <c r="G7">
        <v>1432</v>
      </c>
      <c r="H7">
        <v>1</v>
      </c>
      <c r="I7">
        <v>3016</v>
      </c>
    </row>
    <row r="8" spans="1:9" x14ac:dyDescent="0.2">
      <c r="A8" s="1">
        <v>45953</v>
      </c>
      <c r="B8">
        <v>41.74</v>
      </c>
      <c r="C8">
        <v>52.18</v>
      </c>
      <c r="D8">
        <v>-1</v>
      </c>
      <c r="E8">
        <v>94.5</v>
      </c>
      <c r="F8">
        <v>1199</v>
      </c>
      <c r="G8">
        <v>1329</v>
      </c>
      <c r="H8">
        <v>0</v>
      </c>
      <c r="I8">
        <v>2025</v>
      </c>
    </row>
    <row r="9" spans="1:9" x14ac:dyDescent="0.2">
      <c r="A9" s="1">
        <v>45954</v>
      </c>
      <c r="B9">
        <v>65.989999999999995</v>
      </c>
      <c r="C9">
        <v>43.91</v>
      </c>
      <c r="D9">
        <v>-2</v>
      </c>
      <c r="E9">
        <v>94.1</v>
      </c>
      <c r="F9">
        <v>965</v>
      </c>
      <c r="G9">
        <v>1944</v>
      </c>
      <c r="H9">
        <v>0</v>
      </c>
      <c r="I9">
        <v>2768</v>
      </c>
    </row>
    <row r="10" spans="1:9" x14ac:dyDescent="0.2">
      <c r="A10" s="1">
        <v>45955</v>
      </c>
      <c r="B10">
        <v>58.03</v>
      </c>
      <c r="C10">
        <v>67.37</v>
      </c>
      <c r="D10">
        <v>1</v>
      </c>
      <c r="E10">
        <v>93.7</v>
      </c>
      <c r="F10">
        <v>751</v>
      </c>
      <c r="G10">
        <v>1846</v>
      </c>
      <c r="H10">
        <v>0</v>
      </c>
      <c r="I10">
        <v>2340</v>
      </c>
    </row>
    <row r="11" spans="1:9" x14ac:dyDescent="0.2">
      <c r="A11" s="1">
        <v>45956</v>
      </c>
      <c r="B11">
        <v>61.24</v>
      </c>
      <c r="C11">
        <v>57.61</v>
      </c>
      <c r="D11">
        <v>1</v>
      </c>
      <c r="E11">
        <v>93.3</v>
      </c>
      <c r="F11">
        <v>949</v>
      </c>
      <c r="G11">
        <v>1707</v>
      </c>
      <c r="H11">
        <v>0</v>
      </c>
      <c r="I11">
        <v>2968</v>
      </c>
    </row>
    <row r="12" spans="1:9" x14ac:dyDescent="0.2">
      <c r="A12" s="1">
        <v>45957</v>
      </c>
      <c r="B12">
        <v>40.619999999999997</v>
      </c>
      <c r="C12">
        <v>44.88</v>
      </c>
      <c r="D12">
        <v>1</v>
      </c>
      <c r="E12">
        <v>92.9</v>
      </c>
      <c r="F12">
        <v>960</v>
      </c>
      <c r="G12">
        <v>1897</v>
      </c>
      <c r="H12">
        <v>0</v>
      </c>
      <c r="I12">
        <v>2262</v>
      </c>
    </row>
    <row r="13" spans="1:9" x14ac:dyDescent="0.2">
      <c r="A13" s="1">
        <v>45958</v>
      </c>
      <c r="B13">
        <v>69.099999999999994</v>
      </c>
      <c r="C13">
        <v>59.81</v>
      </c>
      <c r="D13">
        <v>2</v>
      </c>
      <c r="E13">
        <v>92.4</v>
      </c>
      <c r="F13">
        <v>1284</v>
      </c>
      <c r="G13">
        <v>1843</v>
      </c>
      <c r="H13">
        <v>0</v>
      </c>
      <c r="I13">
        <v>3036</v>
      </c>
    </row>
    <row r="14" spans="1:9" x14ac:dyDescent="0.2">
      <c r="A14" s="1">
        <v>45959</v>
      </c>
      <c r="B14">
        <v>64.97</v>
      </c>
      <c r="C14">
        <v>41.38</v>
      </c>
      <c r="D14">
        <v>-2</v>
      </c>
      <c r="E14">
        <v>92</v>
      </c>
      <c r="F14">
        <v>1210</v>
      </c>
      <c r="G14">
        <v>1349</v>
      </c>
      <c r="H14">
        <v>0</v>
      </c>
      <c r="I14">
        <v>2580</v>
      </c>
    </row>
    <row r="15" spans="1:9" x14ac:dyDescent="0.2">
      <c r="A15" s="1">
        <v>45960</v>
      </c>
      <c r="B15">
        <v>46.37</v>
      </c>
      <c r="C15">
        <v>76.37</v>
      </c>
      <c r="D15">
        <v>2</v>
      </c>
      <c r="E15">
        <v>91.6</v>
      </c>
      <c r="F15">
        <v>1410</v>
      </c>
      <c r="G15">
        <v>1914</v>
      </c>
      <c r="H15">
        <v>0</v>
      </c>
      <c r="I15">
        <v>3405</v>
      </c>
    </row>
    <row r="16" spans="1:9" x14ac:dyDescent="0.2">
      <c r="A16" s="1">
        <v>45961</v>
      </c>
      <c r="B16">
        <v>45.45</v>
      </c>
      <c r="C16">
        <v>50.35</v>
      </c>
      <c r="D16">
        <v>4</v>
      </c>
      <c r="E16">
        <v>91.2</v>
      </c>
      <c r="F16">
        <v>1078</v>
      </c>
      <c r="G16">
        <v>1631</v>
      </c>
      <c r="H16">
        <v>0</v>
      </c>
      <c r="I16">
        <v>2206</v>
      </c>
    </row>
    <row r="17" spans="1:9" x14ac:dyDescent="0.2">
      <c r="A17" s="1">
        <v>45962</v>
      </c>
      <c r="B17">
        <v>45.5</v>
      </c>
      <c r="C17">
        <v>66.5</v>
      </c>
      <c r="D17">
        <v>2</v>
      </c>
      <c r="E17">
        <v>90.8</v>
      </c>
      <c r="F17">
        <v>796</v>
      </c>
      <c r="G17">
        <v>1846</v>
      </c>
      <c r="H17">
        <v>1</v>
      </c>
      <c r="I17">
        <v>2512</v>
      </c>
    </row>
    <row r="18" spans="1:9" x14ac:dyDescent="0.2">
      <c r="A18" s="1">
        <v>45963</v>
      </c>
      <c r="B18">
        <v>49.13</v>
      </c>
      <c r="C18">
        <v>52.47</v>
      </c>
      <c r="D18">
        <v>-10</v>
      </c>
      <c r="E18">
        <v>90.4</v>
      </c>
      <c r="F18">
        <v>1271</v>
      </c>
      <c r="G18">
        <v>1917</v>
      </c>
      <c r="H18">
        <v>0</v>
      </c>
      <c r="I18">
        <v>2170</v>
      </c>
    </row>
    <row r="19" spans="1:9" x14ac:dyDescent="0.2">
      <c r="A19" s="1">
        <v>45964</v>
      </c>
      <c r="B19">
        <v>55.74</v>
      </c>
      <c r="C19">
        <v>60.8</v>
      </c>
      <c r="D19">
        <v>-2</v>
      </c>
      <c r="E19">
        <v>90</v>
      </c>
      <c r="F19">
        <v>1309</v>
      </c>
      <c r="G19">
        <v>1454</v>
      </c>
      <c r="H19">
        <v>0</v>
      </c>
      <c r="I19">
        <v>3387</v>
      </c>
    </row>
    <row r="20" spans="1:9" x14ac:dyDescent="0.2">
      <c r="A20" s="1">
        <v>45965</v>
      </c>
      <c r="B20">
        <v>52.96</v>
      </c>
      <c r="C20">
        <v>61.87</v>
      </c>
      <c r="D20">
        <v>-4</v>
      </c>
      <c r="E20">
        <v>89.6</v>
      </c>
      <c r="F20">
        <v>1149</v>
      </c>
      <c r="G20">
        <v>1288</v>
      </c>
      <c r="H20">
        <v>0</v>
      </c>
      <c r="I20">
        <v>3316</v>
      </c>
    </row>
    <row r="21" spans="1:9" x14ac:dyDescent="0.2">
      <c r="A21" s="1">
        <v>45966</v>
      </c>
      <c r="B21">
        <v>48.74</v>
      </c>
      <c r="C21">
        <v>47.39</v>
      </c>
      <c r="D21">
        <v>-2</v>
      </c>
      <c r="E21">
        <v>89.1</v>
      </c>
      <c r="F21">
        <v>1317</v>
      </c>
      <c r="G21">
        <v>1382</v>
      </c>
      <c r="H21">
        <v>1</v>
      </c>
      <c r="I21">
        <v>2387</v>
      </c>
    </row>
    <row r="22" spans="1:9" x14ac:dyDescent="0.2">
      <c r="A22" s="1">
        <v>45967</v>
      </c>
      <c r="B22">
        <v>58.36</v>
      </c>
      <c r="C22">
        <v>78.78</v>
      </c>
      <c r="D22">
        <v>-3</v>
      </c>
      <c r="E22">
        <v>88.7</v>
      </c>
      <c r="F22">
        <v>1095</v>
      </c>
      <c r="G22">
        <v>1542</v>
      </c>
      <c r="H22">
        <v>0</v>
      </c>
      <c r="I22">
        <v>2990</v>
      </c>
    </row>
    <row r="23" spans="1:9" x14ac:dyDescent="0.2">
      <c r="A23" s="1">
        <v>45968</v>
      </c>
      <c r="B23">
        <v>44.18</v>
      </c>
      <c r="C23">
        <v>71.010000000000005</v>
      </c>
      <c r="D23">
        <v>-10</v>
      </c>
      <c r="E23">
        <v>88.3</v>
      </c>
      <c r="F23">
        <v>1118</v>
      </c>
      <c r="G23">
        <v>1854</v>
      </c>
      <c r="H23">
        <v>0</v>
      </c>
      <c r="I23">
        <v>3226</v>
      </c>
    </row>
    <row r="24" spans="1:9" x14ac:dyDescent="0.2">
      <c r="A24" s="1">
        <v>45969</v>
      </c>
      <c r="B24">
        <v>48.76</v>
      </c>
      <c r="C24">
        <v>77.58</v>
      </c>
      <c r="D24">
        <v>1</v>
      </c>
      <c r="E24">
        <v>87.9</v>
      </c>
      <c r="F24">
        <v>1042</v>
      </c>
      <c r="G24">
        <v>1889</v>
      </c>
      <c r="H24">
        <v>0</v>
      </c>
      <c r="I24">
        <v>2833</v>
      </c>
    </row>
    <row r="25" spans="1:9" x14ac:dyDescent="0.2">
      <c r="A25" s="1">
        <v>45970</v>
      </c>
      <c r="B25">
        <v>50.99</v>
      </c>
      <c r="C25">
        <v>75.790000000000006</v>
      </c>
      <c r="D25">
        <v>-3</v>
      </c>
      <c r="E25">
        <v>87.5</v>
      </c>
      <c r="F25">
        <v>720</v>
      </c>
      <c r="G25">
        <v>1206</v>
      </c>
      <c r="H25">
        <v>0</v>
      </c>
      <c r="I25">
        <v>2794</v>
      </c>
    </row>
    <row r="26" spans="1:9" x14ac:dyDescent="0.2">
      <c r="A26" s="1">
        <v>45971</v>
      </c>
      <c r="B26">
        <v>53.68</v>
      </c>
      <c r="C26">
        <v>63.92</v>
      </c>
      <c r="D26">
        <v>-3</v>
      </c>
      <c r="E26">
        <v>87.1</v>
      </c>
      <c r="F26">
        <v>786</v>
      </c>
      <c r="G26">
        <v>1609</v>
      </c>
      <c r="H26">
        <v>0</v>
      </c>
      <c r="I26">
        <v>2363</v>
      </c>
    </row>
    <row r="27" spans="1:9" x14ac:dyDescent="0.2">
      <c r="A27" s="1">
        <v>45972</v>
      </c>
      <c r="B27">
        <v>63.56</v>
      </c>
      <c r="C27">
        <v>76.87</v>
      </c>
      <c r="D27">
        <v>4</v>
      </c>
      <c r="E27">
        <v>86.7</v>
      </c>
      <c r="F27">
        <v>725</v>
      </c>
      <c r="G27">
        <v>1534</v>
      </c>
      <c r="H27">
        <v>0</v>
      </c>
      <c r="I27">
        <v>2140</v>
      </c>
    </row>
    <row r="28" spans="1:9" x14ac:dyDescent="0.2">
      <c r="A28" s="1">
        <v>45973</v>
      </c>
      <c r="B28">
        <v>45.99</v>
      </c>
      <c r="C28">
        <v>43.54</v>
      </c>
      <c r="D28">
        <v>0</v>
      </c>
      <c r="E28">
        <v>86.2</v>
      </c>
      <c r="F28">
        <v>1209</v>
      </c>
      <c r="G28">
        <v>1378</v>
      </c>
      <c r="H28">
        <v>0</v>
      </c>
      <c r="I28">
        <v>3346</v>
      </c>
    </row>
    <row r="29" spans="1:9" x14ac:dyDescent="0.2">
      <c r="A29" s="1">
        <v>45974</v>
      </c>
      <c r="B29">
        <v>55.43</v>
      </c>
      <c r="C29">
        <v>47.84</v>
      </c>
      <c r="D29">
        <v>-8</v>
      </c>
      <c r="E29">
        <v>85.8</v>
      </c>
      <c r="F29">
        <v>951</v>
      </c>
      <c r="G29">
        <v>1296</v>
      </c>
      <c r="H29">
        <v>0</v>
      </c>
      <c r="I29">
        <v>3351</v>
      </c>
    </row>
    <row r="30" spans="1:9" x14ac:dyDescent="0.2">
      <c r="A30" s="1">
        <v>45975</v>
      </c>
      <c r="B30">
        <v>57.77</v>
      </c>
      <c r="C30">
        <v>41.81</v>
      </c>
      <c r="D30">
        <v>-10</v>
      </c>
      <c r="E30">
        <v>85.4</v>
      </c>
      <c r="F30">
        <v>1107</v>
      </c>
      <c r="G30">
        <v>1470</v>
      </c>
      <c r="H30">
        <v>0</v>
      </c>
      <c r="I30">
        <v>2950</v>
      </c>
    </row>
    <row r="31" spans="1:9" x14ac:dyDescent="0.2">
      <c r="A31" s="1">
        <v>45976</v>
      </c>
      <c r="B31">
        <v>41.39</v>
      </c>
      <c r="C31">
        <v>53.01</v>
      </c>
      <c r="D31">
        <v>-3</v>
      </c>
      <c r="E31">
        <v>85</v>
      </c>
      <c r="F31">
        <v>1426</v>
      </c>
      <c r="G31">
        <v>1954</v>
      </c>
      <c r="H31">
        <v>0</v>
      </c>
      <c r="I31">
        <v>2509</v>
      </c>
    </row>
    <row r="32" spans="1:9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C50-892D-5C40-9A77-7469C0A0F13C}">
  <dimension ref="A1:E32"/>
  <sheetViews>
    <sheetView workbookViewId="0">
      <selection activeCell="H10" sqref="H10"/>
    </sheetView>
  </sheetViews>
  <sheetFormatPr baseColWidth="10" defaultRowHeight="16" x14ac:dyDescent="0.2"/>
  <cols>
    <col min="1" max="1" width="13.6640625" customWidth="1"/>
    <col min="2" max="2" width="18.33203125" customWidth="1"/>
    <col min="4" max="4" width="14.33203125" customWidth="1"/>
    <col min="5" max="5" width="18.33203125" customWidth="1"/>
  </cols>
  <sheetData>
    <row r="1" spans="1:5" x14ac:dyDescent="0.2">
      <c r="A1" t="s">
        <v>10</v>
      </c>
      <c r="C1" t="s">
        <v>11</v>
      </c>
      <c r="D1" t="s">
        <v>12</v>
      </c>
      <c r="E1" t="s">
        <v>13</v>
      </c>
    </row>
    <row r="2" spans="1:5" x14ac:dyDescent="0.2">
      <c r="A2" t="e">
        <f>Data!B2-Data!B1</f>
        <v>#VALUE!</v>
      </c>
      <c r="C2" t="str">
        <f>IF(Data!H2=1,"Yes","No")</f>
        <v>No</v>
      </c>
    </row>
    <row r="3" spans="1:5" x14ac:dyDescent="0.2">
      <c r="A3">
        <f>Data!B3-Data!B2</f>
        <v>17.279999999999994</v>
      </c>
      <c r="C3" t="str">
        <f>IF(Data!H3=1,"Yes","No")</f>
        <v>No</v>
      </c>
    </row>
    <row r="4" spans="1:5" x14ac:dyDescent="0.2">
      <c r="A4">
        <f>Data!B4-Data!B3</f>
        <v>-6.5599999999999952</v>
      </c>
      <c r="C4" t="str">
        <f>IF(Data!H4=1,"Yes","No")</f>
        <v>No</v>
      </c>
    </row>
    <row r="5" spans="1:5" x14ac:dyDescent="0.2">
      <c r="A5">
        <f>Data!B5-Data!B4</f>
        <v>-4</v>
      </c>
      <c r="C5" t="str">
        <f>IF(Data!H5=1,"Yes","No")</f>
        <v>No</v>
      </c>
    </row>
    <row r="6" spans="1:5" x14ac:dyDescent="0.2">
      <c r="A6">
        <f>Data!B6-Data!B5</f>
        <v>-13.280000000000001</v>
      </c>
      <c r="C6" t="str">
        <f>IF(Data!H6=1,"Yes","No")</f>
        <v>Yes</v>
      </c>
    </row>
    <row r="7" spans="1:5" x14ac:dyDescent="0.2">
      <c r="A7">
        <f>Data!B7-Data!B6</f>
        <v>0</v>
      </c>
      <c r="C7" t="str">
        <f>IF(Data!H7=1,"Yes","No")</f>
        <v>Yes</v>
      </c>
    </row>
    <row r="8" spans="1:5" x14ac:dyDescent="0.2">
      <c r="A8">
        <f>Data!B8-Data!B7</f>
        <v>-2.9399999999999977</v>
      </c>
      <c r="C8" t="str">
        <f>IF(Data!H8=1,"Yes","No")</f>
        <v>No</v>
      </c>
      <c r="D8">
        <f>_xlfn.STDEV.S(Data!B2:B8)</f>
        <v>10.116625637321668</v>
      </c>
      <c r="E8">
        <f>AVERAGE(Data!B2:B8)</f>
        <v>52.96857142857143</v>
      </c>
    </row>
    <row r="9" spans="1:5" x14ac:dyDescent="0.2">
      <c r="A9">
        <f>Data!B9-Data!B8</f>
        <v>24.249999999999993</v>
      </c>
      <c r="C9" t="str">
        <f>IF(Data!H9=1,"Yes","No")</f>
        <v>No</v>
      </c>
      <c r="D9">
        <f>_xlfn.STDEV.S(Data!B3:B9)</f>
        <v>11.177104361361282</v>
      </c>
      <c r="E9">
        <f>AVERAGE(Data!B3:B9)</f>
        <v>55.075714285714291</v>
      </c>
    </row>
    <row r="10" spans="1:5" x14ac:dyDescent="0.2">
      <c r="A10">
        <f>Data!B10-Data!B9</f>
        <v>-7.9599999999999937</v>
      </c>
      <c r="C10" t="str">
        <f>IF(Data!H10=1,"Yes","No")</f>
        <v>No</v>
      </c>
      <c r="D10">
        <f>_xlfn.STDEV.S(Data!B4:B10)</f>
        <v>9.6766466545075005</v>
      </c>
      <c r="E10">
        <f>AVERAGE(Data!B4:B10)</f>
        <v>53.577142857142853</v>
      </c>
    </row>
    <row r="11" spans="1:5" x14ac:dyDescent="0.2">
      <c r="A11">
        <f>Data!B11-Data!B10</f>
        <v>3.2100000000000009</v>
      </c>
      <c r="C11" t="str">
        <f>IF(Data!H11=1,"Yes","No")</f>
        <v>No</v>
      </c>
      <c r="D11">
        <f>_xlfn.STDEV.S(Data!B5:B11)</f>
        <v>9.5759940426443677</v>
      </c>
      <c r="E11">
        <f>AVERAGE(Data!B5:B11)</f>
        <v>53.47428571428572</v>
      </c>
    </row>
    <row r="12" spans="1:5" x14ac:dyDescent="0.2">
      <c r="A12">
        <f>Data!B12-Data!B11</f>
        <v>-20.620000000000005</v>
      </c>
      <c r="C12" t="str">
        <f>IF(Data!H12=1,"Yes","No")</f>
        <v>No</v>
      </c>
      <c r="D12">
        <f>_xlfn.STDEV.S(Data!B6:B12)</f>
        <v>10.42717078004344</v>
      </c>
      <c r="E12">
        <f>AVERAGE(Data!B6:B12)</f>
        <v>50.997142857142855</v>
      </c>
    </row>
    <row r="13" spans="1:5" x14ac:dyDescent="0.2">
      <c r="A13">
        <f>Data!B13-Data!B12</f>
        <v>28.479999999999997</v>
      </c>
      <c r="C13" t="str">
        <f>IF(Data!H13=1,"Yes","No")</f>
        <v>No</v>
      </c>
      <c r="D13">
        <f>_xlfn.STDEV.S(Data!B7:B13)</f>
        <v>11.937137927692842</v>
      </c>
      <c r="E13">
        <f>AVERAGE(Data!B7:B13)</f>
        <v>54.48571428571428</v>
      </c>
    </row>
    <row r="14" spans="1:5" x14ac:dyDescent="0.2">
      <c r="A14">
        <f>Data!B14-Data!B13</f>
        <v>-4.1299999999999955</v>
      </c>
      <c r="C14" t="str">
        <f>IF(Data!H14=1,"Yes","No")</f>
        <v>No</v>
      </c>
      <c r="D14">
        <f>_xlfn.STDEV.S(Data!B8:B14)</f>
        <v>11.618431989935699</v>
      </c>
      <c r="E14">
        <f>AVERAGE(Data!B8:B14)</f>
        <v>57.384285714285724</v>
      </c>
    </row>
    <row r="15" spans="1:5" x14ac:dyDescent="0.2">
      <c r="A15">
        <f>Data!B15-Data!B14</f>
        <v>-18.600000000000001</v>
      </c>
      <c r="C15" t="str">
        <f>IF(Data!H15=1,"Yes","No")</f>
        <v>No</v>
      </c>
      <c r="D15">
        <f>_xlfn.STDEV.S(Data!B9:B15)</f>
        <v>10.672676729453912</v>
      </c>
      <c r="E15">
        <f>AVERAGE(Data!B9:B15)</f>
        <v>58.04571428571429</v>
      </c>
    </row>
    <row r="16" spans="1:5" x14ac:dyDescent="0.2">
      <c r="A16">
        <f>Data!B16-Data!B15</f>
        <v>-0.9199999999999946</v>
      </c>
      <c r="C16" t="str">
        <f>IF(Data!H16=1,"Yes","No")</f>
        <v>No</v>
      </c>
      <c r="D16">
        <f>_xlfn.STDEV.S(Data!B10:B16)</f>
        <v>10.94460510719229</v>
      </c>
      <c r="E16">
        <f>AVERAGE(Data!B10:B16)</f>
        <v>55.111428571428576</v>
      </c>
    </row>
    <row r="17" spans="1:5" x14ac:dyDescent="0.2">
      <c r="A17">
        <f>Data!B17-Data!B16</f>
        <v>4.9999999999997158E-2</v>
      </c>
      <c r="C17" t="str">
        <f>IF(Data!H17=1,"Yes","No")</f>
        <v>Yes</v>
      </c>
      <c r="D17">
        <f>_xlfn.STDEV.S(Data!B11:B17)</f>
        <v>11.402770757687851</v>
      </c>
      <c r="E17">
        <f>AVERAGE(Data!B11:B17)</f>
        <v>53.321428571428562</v>
      </c>
    </row>
    <row r="18" spans="1:5" x14ac:dyDescent="0.2">
      <c r="A18">
        <f>Data!B18-Data!B17</f>
        <v>3.6300000000000026</v>
      </c>
      <c r="C18" t="str">
        <f>IF(Data!H18=1,"Yes","No")</f>
        <v>No</v>
      </c>
      <c r="D18">
        <f>_xlfn.STDEV.S(Data!B12:B18)</f>
        <v>10.909117637052409</v>
      </c>
      <c r="E18">
        <f>AVERAGE(Data!B12:B18)</f>
        <v>51.591428571428573</v>
      </c>
    </row>
    <row r="19" spans="1:5" x14ac:dyDescent="0.2">
      <c r="A19">
        <f>Data!B19-Data!B18</f>
        <v>6.6099999999999994</v>
      </c>
      <c r="C19" t="str">
        <f>IF(Data!H19=1,"Yes","No")</f>
        <v>No</v>
      </c>
      <c r="D19">
        <f>_xlfn.STDEV.S(Data!B13:B19)</f>
        <v>9.816926587229208</v>
      </c>
      <c r="E19">
        <f>AVERAGE(Data!B13:B19)</f>
        <v>53.751428571428569</v>
      </c>
    </row>
    <row r="20" spans="1:5" x14ac:dyDescent="0.2">
      <c r="A20">
        <f>Data!B20-Data!B19</f>
        <v>-2.7800000000000011</v>
      </c>
      <c r="C20" t="str">
        <f>IF(Data!H20=1,"Yes","No")</f>
        <v>No</v>
      </c>
      <c r="D20">
        <f>_xlfn.STDEV.S(Data!B14:B20)</f>
        <v>7.1421958741525451</v>
      </c>
      <c r="E20">
        <f>AVERAGE(Data!B14:B20)</f>
        <v>51.445714285714288</v>
      </c>
    </row>
    <row r="21" spans="1:5" x14ac:dyDescent="0.2">
      <c r="A21">
        <f>Data!B21-Data!B20</f>
        <v>-4.2199999999999989</v>
      </c>
      <c r="C21" t="str">
        <f>IF(Data!H21=1,"Yes","No")</f>
        <v>Yes</v>
      </c>
      <c r="D21">
        <f>_xlfn.STDEV.S(Data!B15:B21)</f>
        <v>3.9338264420523794</v>
      </c>
      <c r="E21">
        <f>AVERAGE(Data!B15:B21)</f>
        <v>49.127142857142857</v>
      </c>
    </row>
    <row r="22" spans="1:5" x14ac:dyDescent="0.2">
      <c r="A22">
        <f>Data!B22-Data!B21</f>
        <v>9.6199999999999974</v>
      </c>
      <c r="C22" t="str">
        <f>IF(Data!H22=1,"Yes","No")</f>
        <v>No</v>
      </c>
      <c r="D22">
        <f>_xlfn.STDEV.S(Data!B16:B22)</f>
        <v>4.9992766143379841</v>
      </c>
      <c r="E22">
        <f>AVERAGE(Data!B16:B22)</f>
        <v>50.840000000000011</v>
      </c>
    </row>
    <row r="23" spans="1:5" x14ac:dyDescent="0.2">
      <c r="A23">
        <f>Data!B23-Data!B22</f>
        <v>-14.18</v>
      </c>
      <c r="C23" t="str">
        <f>IF(Data!H23=1,"Yes","No")</f>
        <v>No</v>
      </c>
      <c r="D23">
        <f>_xlfn.STDEV.S(Data!B17:B23)</f>
        <v>5.2445159566014885</v>
      </c>
      <c r="E23">
        <f>AVERAGE(Data!B17:B23)</f>
        <v>50.658571428571427</v>
      </c>
    </row>
    <row r="24" spans="1:5" x14ac:dyDescent="0.2">
      <c r="A24">
        <f>Data!B24-Data!B23</f>
        <v>4.5799999999999983</v>
      </c>
      <c r="C24" t="str">
        <f>IF(Data!H24=1,"Yes","No")</f>
        <v>No</v>
      </c>
      <c r="D24">
        <f>_xlfn.STDEV.S(Data!B18:B24)</f>
        <v>4.8391661028971278</v>
      </c>
      <c r="E24">
        <f>AVERAGE(Data!B18:B24)</f>
        <v>51.124285714285712</v>
      </c>
    </row>
    <row r="25" spans="1:5" x14ac:dyDescent="0.2">
      <c r="A25">
        <f>Data!B25-Data!B24</f>
        <v>2.230000000000004</v>
      </c>
      <c r="C25" t="str">
        <f>IF(Data!H25=1,"Yes","No")</f>
        <v>No</v>
      </c>
      <c r="D25">
        <f>_xlfn.STDEV.S(Data!B19:B25)</f>
        <v>4.7618588807313476</v>
      </c>
      <c r="E25">
        <f>AVERAGE(Data!B19:B25)</f>
        <v>51.39</v>
      </c>
    </row>
    <row r="26" spans="1:5" x14ac:dyDescent="0.2">
      <c r="A26">
        <f>Data!B26-Data!B25</f>
        <v>2.6899999999999977</v>
      </c>
      <c r="C26" t="str">
        <f>IF(Data!H26=1,"Yes","No")</f>
        <v>No</v>
      </c>
      <c r="D26">
        <f>_xlfn.STDEV.S(Data!B20:B26)</f>
        <v>4.5049449021523635</v>
      </c>
      <c r="E26">
        <f>AVERAGE(Data!B20:B26)</f>
        <v>51.095714285714287</v>
      </c>
    </row>
    <row r="27" spans="1:5" x14ac:dyDescent="0.2">
      <c r="A27">
        <f>Data!B27-Data!B26</f>
        <v>9.8800000000000026</v>
      </c>
      <c r="C27" t="str">
        <f>IF(Data!H27=1,"Yes","No")</f>
        <v>No</v>
      </c>
      <c r="D27">
        <f>_xlfn.STDEV.S(Data!B21:B27)</f>
        <v>6.5523354614976936</v>
      </c>
      <c r="E27">
        <f>AVERAGE(Data!B21:B27)</f>
        <v>52.61</v>
      </c>
    </row>
    <row r="28" spans="1:5" x14ac:dyDescent="0.2">
      <c r="A28">
        <f>Data!B28-Data!B27</f>
        <v>-17.57</v>
      </c>
      <c r="C28" t="str">
        <f>IF(Data!H28=1,"Yes","No")</f>
        <v>No</v>
      </c>
      <c r="D28">
        <f>_xlfn.STDEV.S(Data!B22:B28)</f>
        <v>6.8964452541042958</v>
      </c>
      <c r="E28">
        <f>AVERAGE(Data!B22:B28)</f>
        <v>52.217142857142854</v>
      </c>
    </row>
    <row r="29" spans="1:5" x14ac:dyDescent="0.2">
      <c r="A29">
        <f>Data!B29-Data!B28</f>
        <v>9.4399999999999977</v>
      </c>
      <c r="C29" t="str">
        <f>IF(Data!H29=1,"Yes","No")</f>
        <v>No</v>
      </c>
      <c r="D29">
        <f>_xlfn.STDEV.S(Data!B23:B29)</f>
        <v>6.5412420547665535</v>
      </c>
      <c r="E29">
        <f>AVERAGE(Data!B23:B29)</f>
        <v>51.798571428571435</v>
      </c>
    </row>
    <row r="30" spans="1:5" x14ac:dyDescent="0.2">
      <c r="A30">
        <f>Data!B30-Data!B29</f>
        <v>2.3400000000000034</v>
      </c>
      <c r="C30" t="str">
        <f>IF(Data!H30=1,"Yes","No")</f>
        <v>No</v>
      </c>
      <c r="D30">
        <f>_xlfn.STDEV.S(Data!B24:B30)</f>
        <v>5.8872517640519373</v>
      </c>
      <c r="E30">
        <f>AVERAGE(Data!B24:B30)</f>
        <v>53.74</v>
      </c>
    </row>
    <row r="31" spans="1:5" x14ac:dyDescent="0.2">
      <c r="A31">
        <f>Data!B31-Data!B30</f>
        <v>-16.380000000000003</v>
      </c>
      <c r="C31" t="str">
        <f>IF(Data!H31=1,"Yes","No")</f>
        <v>No</v>
      </c>
      <c r="D31">
        <f>_xlfn.STDEV.S(Data!B25:B31)</f>
        <v>7.3927999077609829</v>
      </c>
      <c r="E31">
        <f>AVERAGE(Data!B25:B31)</f>
        <v>52.687142857142859</v>
      </c>
    </row>
    <row r="32" spans="1:5" x14ac:dyDescent="0.2">
      <c r="A32">
        <f>Data!B32-Data!B31</f>
        <v>-41.39</v>
      </c>
      <c r="C32" t="str">
        <f>IF(Data!H32=1,"Yes","No")</f>
        <v>No</v>
      </c>
      <c r="D32">
        <f>_xlfn.STDEV.S(Data!B26:B32)</f>
        <v>8.0568058186852269</v>
      </c>
      <c r="E32">
        <f>AVERAGE(Data!B26:B32)</f>
        <v>52.97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4423-3A15-C842-93C2-8B667A194469}">
  <dimension ref="B1:K18"/>
  <sheetViews>
    <sheetView showGridLines="0" tabSelected="1" zoomScaleNormal="100" workbookViewId="0">
      <selection activeCell="E21" sqref="E21"/>
    </sheetView>
  </sheetViews>
  <sheetFormatPr baseColWidth="10" defaultRowHeight="16" x14ac:dyDescent="0.2"/>
  <cols>
    <col min="2" max="2" width="14.33203125" customWidth="1"/>
    <col min="4" max="4" width="14.1640625" customWidth="1"/>
    <col min="6" max="6" width="19.1640625" customWidth="1"/>
    <col min="7" max="7" width="14.83203125" customWidth="1"/>
    <col min="8" max="8" width="3.6640625" customWidth="1"/>
    <col min="9" max="9" width="19" customWidth="1"/>
    <col min="11" max="11" width="18.83203125" customWidth="1"/>
  </cols>
  <sheetData>
    <row r="1" spans="2:11" ht="17" thickBot="1" x14ac:dyDescent="0.25"/>
    <row r="2" spans="2:11" ht="17" thickBot="1" x14ac:dyDescent="0.25">
      <c r="B2" s="3" t="s">
        <v>17</v>
      </c>
      <c r="C2" s="4">
        <v>45958</v>
      </c>
      <c r="G2" s="5" t="s">
        <v>14</v>
      </c>
      <c r="H2" s="6"/>
      <c r="I2" s="6" t="s">
        <v>15</v>
      </c>
      <c r="J2" s="6"/>
      <c r="K2" s="7" t="s">
        <v>3</v>
      </c>
    </row>
    <row r="3" spans="2:11" x14ac:dyDescent="0.2">
      <c r="G3" s="8">
        <f>INDEX(Data!B2:B31, MATCH($C$2, Data!A2:A31, 0))</f>
        <v>69.099999999999994</v>
      </c>
      <c r="H3" s="9"/>
      <c r="I3" s="9">
        <f>INDEX(Data!C2:C31, MATCH($C$2, Data!A2:A31, 0))</f>
        <v>59.81</v>
      </c>
      <c r="J3" s="9"/>
      <c r="K3" s="10">
        <f>INDEX(Data!D2:D31, MATCH($C$2, Data!A2:A31, 0))</f>
        <v>2</v>
      </c>
    </row>
    <row r="4" spans="2:11" x14ac:dyDescent="0.2">
      <c r="G4" s="8"/>
      <c r="H4" s="9"/>
      <c r="I4" s="9"/>
      <c r="J4" s="9"/>
      <c r="K4" s="10"/>
    </row>
    <row r="5" spans="2:11" x14ac:dyDescent="0.2">
      <c r="G5" s="8"/>
      <c r="H5" s="9"/>
      <c r="I5" s="9"/>
      <c r="J5" s="9"/>
      <c r="K5" s="10"/>
    </row>
    <row r="6" spans="2:11" x14ac:dyDescent="0.2">
      <c r="G6" s="8" t="s">
        <v>16</v>
      </c>
      <c r="H6" s="9"/>
      <c r="I6" s="9" t="s">
        <v>11</v>
      </c>
      <c r="J6" s="9"/>
      <c r="K6" s="10" t="s">
        <v>13</v>
      </c>
    </row>
    <row r="7" spans="2:11" x14ac:dyDescent="0.2">
      <c r="G7" s="8">
        <f>INDEX(Data!E2:E31, MATCH($C$2, Data!A2:A31, 0))</f>
        <v>92.4</v>
      </c>
      <c r="H7" s="9"/>
      <c r="I7" s="9" t="str">
        <f>INDEX(Beregninger!C2:C31, MATCH($C$2, Data!A2:A31, 0))</f>
        <v>No</v>
      </c>
      <c r="J7" s="9"/>
      <c r="K7" s="10">
        <f>INDEX(Beregninger!E2:E31, MATCH($C$2, Data!A2:A31, 0))</f>
        <v>54.48571428571428</v>
      </c>
    </row>
    <row r="8" spans="2:11" x14ac:dyDescent="0.2">
      <c r="G8" s="8"/>
      <c r="H8" s="9"/>
      <c r="I8" s="9"/>
      <c r="J8" s="9"/>
      <c r="K8" s="10"/>
    </row>
    <row r="9" spans="2:11" x14ac:dyDescent="0.2">
      <c r="G9" s="8" t="s">
        <v>18</v>
      </c>
      <c r="H9" s="9"/>
      <c r="I9" s="9"/>
      <c r="J9" s="9"/>
      <c r="K9" s="10"/>
    </row>
    <row r="10" spans="2:11" x14ac:dyDescent="0.2">
      <c r="G10" s="8">
        <f>INDEX(Beregninger!D2:D31, MATCH($C$2, Data!A2:A31, 0))</f>
        <v>11.937137927692842</v>
      </c>
      <c r="H10" s="9"/>
      <c r="I10" s="9"/>
      <c r="J10" s="9"/>
      <c r="K10" s="10"/>
    </row>
    <row r="11" spans="2:11" ht="17" thickBot="1" x14ac:dyDescent="0.25">
      <c r="G11" s="11"/>
      <c r="H11" s="12"/>
      <c r="I11" s="12"/>
      <c r="J11" s="12"/>
      <c r="K11" s="13"/>
    </row>
    <row r="14" spans="2:11" ht="28" thickBot="1" x14ac:dyDescent="0.4">
      <c r="I14" s="2" t="s">
        <v>19</v>
      </c>
    </row>
    <row r="15" spans="2:11" x14ac:dyDescent="0.2">
      <c r="G15" s="14" t="str">
        <f>"Dato: "
&amp;TEXT($C$2,"dd-mm-åååå")
&amp;" | TTF Day Ahead Price €: "
&amp;TEXT(INDEX(Data!B2:B31, MATCH($C$2, Data!A2:A31, 0)),"0,00")
&amp;" | TTF Within day price €: "
&amp;TEXT(INDEX(Data!C2:C31, MATCH($C$2, Data!A2:A31, 0)),"0,00")
&amp;" | Temperature deviation (Celsius): "
&amp;INDEX(Data!D2:D31, MATCH($C$2, Data!A2:A31, 0))
&amp;" | Storage level (%): "
&amp;TEXT(INDEX(Data!E2:E31, MATCH($C$2, Data!A2:A31, 0)),"0,0")
&amp;" | Outage: "
&amp;INDEX(Beregninger!C2:C31, MATCH($C$2, Data!A2:A31, 0))
&amp;" | 7 day rolling average: "
&amp;TEXT(INDEX(Beregninger!E2:E31, MATCH($C$2, Data!A2:A31, 0)),"0,00")
&amp;" | 7 day volatilty: "
&amp;TEXT(INDEX(Beregninger!D2:D31, MATCH($C$2, Data!A2:A31, 0)),"0,00")</f>
        <v>Dato: 28-10-2025 | TTF Day Ahead Price €: 69,10 | TTF Within day price €: 59,81 | Temperature deviation (Celsius): 2 | Storage level (%): 92,4 | Outage: No | 7 day rolling average: 54,49 | 7 day volatilty: 11,94</v>
      </c>
      <c r="H15" s="15"/>
      <c r="I15" s="15"/>
      <c r="J15" s="15"/>
      <c r="K15" s="16"/>
    </row>
    <row r="16" spans="2:11" x14ac:dyDescent="0.2">
      <c r="G16" s="17"/>
      <c r="H16" s="18"/>
      <c r="I16" s="18"/>
      <c r="J16" s="18"/>
      <c r="K16" s="19"/>
    </row>
    <row r="17" spans="7:11" x14ac:dyDescent="0.2">
      <c r="G17" s="17"/>
      <c r="H17" s="18"/>
      <c r="I17" s="18"/>
      <c r="J17" s="18"/>
      <c r="K17" s="19"/>
    </row>
    <row r="18" spans="7:11" ht="17" thickBot="1" x14ac:dyDescent="0.25">
      <c r="G18" s="20"/>
      <c r="H18" s="21"/>
      <c r="I18" s="21"/>
      <c r="J18" s="21"/>
      <c r="K18" s="22"/>
    </row>
  </sheetData>
  <mergeCells count="1">
    <mergeCell ref="G15:K18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CCE24F-08CE-6E46-9BC2-E570C5EDF086}">
          <x14:formula1>
            <xm:f>Data!$A$2:$A$31</xm:f>
          </x14:formula1>
          <xm:sqref>C2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Data</vt:lpstr>
      <vt:lpstr>Beregninger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Thomas Boldreel</dc:creator>
  <cp:lastModifiedBy>Noah Thomas Boldreel</cp:lastModifiedBy>
  <dcterms:created xsi:type="dcterms:W3CDTF">2025-11-17T16:55:30Z</dcterms:created>
  <dcterms:modified xsi:type="dcterms:W3CDTF">2025-11-19T20:00:18Z</dcterms:modified>
</cp:coreProperties>
</file>